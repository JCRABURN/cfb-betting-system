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late" sheetId="1" state="visible" r:id="rId3"/>
    <sheet name="Legend" sheetId="2" state="visible" r:id="rId4"/>
  </sheets>
  <definedNames>
    <definedName function="false" hidden="true" localSheetId="0" name="_xlnm._FilterDatabase" vbProcedure="false">Slate!$A$4:$R$47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<sst xmlns="http://schemas.openxmlformats.org/spreadsheetml/2006/main" count="352" uniqueCount="238">
  <si>
    <t xml:space="preserve">College Football Pick'em - Week of Sep 3-7, 2026</t>
  </si>
  <si>
    <t xml:space="preserve">Lines and totals transcribed from pool screenshots. Yellow cells are yours to fill in. See Legend tab.</t>
  </si>
  <si>
    <t xml:space="preserve">Game #</t>
  </si>
  <si>
    <t xml:space="preserve">Date</t>
  </si>
  <si>
    <t xml:space="preserve">Day</t>
  </si>
  <si>
    <t xml:space="preserve">Kickoff (CT)</t>
  </si>
  <si>
    <t xml:space="preserve">Away Team</t>
  </si>
  <si>
    <t xml:space="preserve">Away</t>
  </si>
  <si>
    <t xml:space="preserve">Away Rank</t>
  </si>
  <si>
    <t xml:space="preserve">Away Line</t>
  </si>
  <si>
    <t xml:space="preserve">Home Team</t>
  </si>
  <si>
    <t xml:space="preserve">Home</t>
  </si>
  <si>
    <t xml:space="preserve">Home Rank</t>
  </si>
  <si>
    <t xml:space="preserve">Home Line</t>
  </si>
  <si>
    <t xml:space="preserve">Favorite</t>
  </si>
  <si>
    <t xml:space="preserve">Fav Line</t>
  </si>
  <si>
    <t xml:space="preserve">Total (O/U)</t>
  </si>
  <si>
    <t xml:space="preserve">Pick: Winner</t>
  </si>
  <si>
    <t xml:space="preserve">Pick: O/U</t>
  </si>
  <si>
    <t xml:space="preserve">Notes</t>
  </si>
  <si>
    <t xml:space="preserve">2026-09-03</t>
  </si>
  <si>
    <t xml:space="preserve">Thu</t>
  </si>
  <si>
    <t xml:space="preserve">5:00 PM</t>
  </si>
  <si>
    <t xml:space="preserve">UMass</t>
  </si>
  <si>
    <t xml:space="preserve">MASS</t>
  </si>
  <si>
    <t xml:space="preserve">Rutgers</t>
  </si>
  <si>
    <t xml:space="preserve">RUTG</t>
  </si>
  <si>
    <t xml:space="preserve">6:00 PM</t>
  </si>
  <si>
    <t xml:space="preserve">Akron</t>
  </si>
  <si>
    <t xml:space="preserve">AKR</t>
  </si>
  <si>
    <t xml:space="preserve">Wake Forest</t>
  </si>
  <si>
    <t xml:space="preserve">WAKE</t>
  </si>
  <si>
    <t xml:space="preserve">7:00 PM</t>
  </si>
  <si>
    <t xml:space="preserve">Colorado</t>
  </si>
  <si>
    <t xml:space="preserve">COLO</t>
  </si>
  <si>
    <t xml:space="preserve">Georgia Tech</t>
  </si>
  <si>
    <t xml:space="preserve">GT</t>
  </si>
  <si>
    <t xml:space="preserve">8:00 PM</t>
  </si>
  <si>
    <t xml:space="preserve">UAB</t>
  </si>
  <si>
    <t xml:space="preserve">Illinois</t>
  </si>
  <si>
    <t xml:space="preserve">ILL</t>
  </si>
  <si>
    <t xml:space="preserve">2026-09-04</t>
  </si>
  <si>
    <t xml:space="preserve">Fri</t>
  </si>
  <si>
    <t xml:space="preserve">5:30 PM</t>
  </si>
  <si>
    <t xml:space="preserve">San Jose State</t>
  </si>
  <si>
    <t xml:space="preserve">SJSU</t>
  </si>
  <si>
    <t xml:space="preserve">Eastern Michigan</t>
  </si>
  <si>
    <t xml:space="preserve">EMU</t>
  </si>
  <si>
    <t xml:space="preserve">UTEP</t>
  </si>
  <si>
    <t xml:space="preserve">Oklahoma</t>
  </si>
  <si>
    <t xml:space="preserve">OKLA</t>
  </si>
  <si>
    <t xml:space="preserve">Toledo</t>
  </si>
  <si>
    <t xml:space="preserve">TOL</t>
  </si>
  <si>
    <t xml:space="preserve">Michigan State</t>
  </si>
  <si>
    <t xml:space="preserve">MSU</t>
  </si>
  <si>
    <t xml:space="preserve">Fresno State</t>
  </si>
  <si>
    <t xml:space="preserve">FRES</t>
  </si>
  <si>
    <t xml:space="preserve">USC</t>
  </si>
  <si>
    <t xml:space="preserve">Miami (FL)</t>
  </si>
  <si>
    <t xml:space="preserve">MIA</t>
  </si>
  <si>
    <t xml:space="preserve">Stanford</t>
  </si>
  <si>
    <t xml:space="preserve">STAN</t>
  </si>
  <si>
    <t xml:space="preserve">2026-09-05</t>
  </si>
  <si>
    <t xml:space="preserve">Sat</t>
  </si>
  <si>
    <t xml:space="preserve">11:00 AM</t>
  </si>
  <si>
    <t xml:space="preserve">North Texas</t>
  </si>
  <si>
    <t xml:space="preserve">UNT</t>
  </si>
  <si>
    <t xml:space="preserve">Indiana</t>
  </si>
  <si>
    <t xml:space="preserve">IND</t>
  </si>
  <si>
    <t xml:space="preserve">Coastal Carolina</t>
  </si>
  <si>
    <t xml:space="preserve">CCAR</t>
  </si>
  <si>
    <t xml:space="preserve">West Virginia</t>
  </si>
  <si>
    <t xml:space="preserve">WVU</t>
  </si>
  <si>
    <t xml:space="preserve">Ohio</t>
  </si>
  <si>
    <t xml:space="preserve">OHIO</t>
  </si>
  <si>
    <t xml:space="preserve">Nebraska</t>
  </si>
  <si>
    <t xml:space="preserve">NEB</t>
  </si>
  <si>
    <t xml:space="preserve">Oregon State</t>
  </si>
  <si>
    <t xml:space="preserve">ORST</t>
  </si>
  <si>
    <t xml:space="preserve">Houston</t>
  </si>
  <si>
    <t xml:space="preserve">HOU</t>
  </si>
  <si>
    <t xml:space="preserve">East Carolina</t>
  </si>
  <si>
    <t xml:space="preserve">ECU</t>
  </si>
  <si>
    <t xml:space="preserve">Alabama</t>
  </si>
  <si>
    <t xml:space="preserve">ALA</t>
  </si>
  <si>
    <t xml:space="preserve">Liberty</t>
  </si>
  <si>
    <t xml:space="preserve">LIB</t>
  </si>
  <si>
    <t xml:space="preserve">James Madison</t>
  </si>
  <si>
    <t xml:space="preserve">JMU</t>
  </si>
  <si>
    <t xml:space="preserve">11:30 AM</t>
  </si>
  <si>
    <t xml:space="preserve">Miami (OH)</t>
  </si>
  <si>
    <t xml:space="preserve">M-OH</t>
  </si>
  <si>
    <t xml:space="preserve">Pittsburgh</t>
  </si>
  <si>
    <t xml:space="preserve">PITT</t>
  </si>
  <si>
    <t xml:space="preserve">Ball State</t>
  </si>
  <si>
    <t xml:space="preserve">BALL</t>
  </si>
  <si>
    <t xml:space="preserve">Ohio State</t>
  </si>
  <si>
    <t xml:space="preserve">OSU</t>
  </si>
  <si>
    <t xml:space="preserve">11:45 AM</t>
  </si>
  <si>
    <t xml:space="preserve">Kent State</t>
  </si>
  <si>
    <t xml:space="preserve">KENT</t>
  </si>
  <si>
    <t xml:space="preserve">South Carolina</t>
  </si>
  <si>
    <t xml:space="preserve">SCAR</t>
  </si>
  <si>
    <t xml:space="preserve">2:30 PM</t>
  </si>
  <si>
    <t xml:space="preserve">Marshall</t>
  </si>
  <si>
    <t xml:space="preserve">MRSH</t>
  </si>
  <si>
    <t xml:space="preserve">Penn State</t>
  </si>
  <si>
    <t xml:space="preserve">PSU</t>
  </si>
  <si>
    <t xml:space="preserve">Boston College</t>
  </si>
  <si>
    <t xml:space="preserve">BC</t>
  </si>
  <si>
    <t xml:space="preserve">Cincinnati</t>
  </si>
  <si>
    <t xml:space="preserve">CIN</t>
  </si>
  <si>
    <t xml:space="preserve">Texas State</t>
  </si>
  <si>
    <t xml:space="preserve">TXST</t>
  </si>
  <si>
    <t xml:space="preserve">Texas</t>
  </si>
  <si>
    <t xml:space="preserve">TEX</t>
  </si>
  <si>
    <t xml:space="preserve">Boise State</t>
  </si>
  <si>
    <t xml:space="preserve">BSU</t>
  </si>
  <si>
    <t xml:space="preserve">Oregon</t>
  </si>
  <si>
    <t xml:space="preserve">ORE</t>
  </si>
  <si>
    <t xml:space="preserve">Tulane</t>
  </si>
  <si>
    <t xml:space="preserve">TULN</t>
  </si>
  <si>
    <t xml:space="preserve">Duke</t>
  </si>
  <si>
    <t xml:space="preserve">DUKE</t>
  </si>
  <si>
    <t xml:space="preserve">Baylor</t>
  </si>
  <si>
    <t xml:space="preserve">BAY</t>
  </si>
  <si>
    <t xml:space="preserve">Auburn</t>
  </si>
  <si>
    <t xml:space="preserve">AUB</t>
  </si>
  <si>
    <t xml:space="preserve">2:45 PM</t>
  </si>
  <si>
    <t xml:space="preserve">Oklahoma State</t>
  </si>
  <si>
    <t xml:space="preserve">OKST</t>
  </si>
  <si>
    <t xml:space="preserve">Tulsa</t>
  </si>
  <si>
    <t xml:space="preserve">TLSA</t>
  </si>
  <si>
    <t xml:space="preserve">3:15 PM</t>
  </si>
  <si>
    <t xml:space="preserve">Northern Illinois</t>
  </si>
  <si>
    <t xml:space="preserve">NIU</t>
  </si>
  <si>
    <t xml:space="preserve">Iowa</t>
  </si>
  <si>
    <t xml:space="preserve">IOWA</t>
  </si>
  <si>
    <t xml:space="preserve">Wyoming</t>
  </si>
  <si>
    <t xml:space="preserve">WYO</t>
  </si>
  <si>
    <t xml:space="preserve">Colorado State</t>
  </si>
  <si>
    <t xml:space="preserve">CSU</t>
  </si>
  <si>
    <t xml:space="preserve">Florida International</t>
  </si>
  <si>
    <t xml:space="preserve">FIU</t>
  </si>
  <si>
    <t xml:space="preserve">South Florida</t>
  </si>
  <si>
    <t xml:space="preserve">USF</t>
  </si>
  <si>
    <t xml:space="preserve">Sam Houston</t>
  </si>
  <si>
    <t xml:space="preserve">SHSU</t>
  </si>
  <si>
    <t xml:space="preserve">Troy</t>
  </si>
  <si>
    <t xml:space="preserve">TROY</t>
  </si>
  <si>
    <t xml:space="preserve">Missouri State</t>
  </si>
  <si>
    <t xml:space="preserve">MOSU</t>
  </si>
  <si>
    <t xml:space="preserve">Texas A&amp;M</t>
  </si>
  <si>
    <t xml:space="preserve">TXAM</t>
  </si>
  <si>
    <t xml:space="preserve">Arkansas State</t>
  </si>
  <si>
    <t xml:space="preserve">ARST</t>
  </si>
  <si>
    <t xml:space="preserve">Memphis</t>
  </si>
  <si>
    <t xml:space="preserve">MEM</t>
  </si>
  <si>
    <t xml:space="preserve">6:30 PM</t>
  </si>
  <si>
    <t xml:space="preserve">Clemson</t>
  </si>
  <si>
    <t xml:space="preserve">CLEM</t>
  </si>
  <si>
    <t xml:space="preserve">LSU</t>
  </si>
  <si>
    <t xml:space="preserve">Louisiana-Monroe</t>
  </si>
  <si>
    <t xml:space="preserve">ULM</t>
  </si>
  <si>
    <t xml:space="preserve">Mississippi State</t>
  </si>
  <si>
    <t xml:space="preserve">MSST</t>
  </si>
  <si>
    <t xml:space="preserve">Western Michigan</t>
  </si>
  <si>
    <t xml:space="preserve">WMU</t>
  </si>
  <si>
    <t xml:space="preserve">Michigan</t>
  </si>
  <si>
    <t xml:space="preserve">MICH</t>
  </si>
  <si>
    <t xml:space="preserve">6:45 PM</t>
  </si>
  <si>
    <t xml:space="preserve">Florida Atlantic</t>
  </si>
  <si>
    <t xml:space="preserve">FAU</t>
  </si>
  <si>
    <t xml:space="preserve">Florida</t>
  </si>
  <si>
    <t xml:space="preserve">FLA</t>
  </si>
  <si>
    <t xml:space="preserve">9:00 PM</t>
  </si>
  <si>
    <t xml:space="preserve">Central Michigan</t>
  </si>
  <si>
    <t xml:space="preserve">CMU</t>
  </si>
  <si>
    <t xml:space="preserve">New Mexico</t>
  </si>
  <si>
    <t xml:space="preserve">UNM</t>
  </si>
  <si>
    <t xml:space="preserve">UNLV</t>
  </si>
  <si>
    <t xml:space="preserve">Hawai'i</t>
  </si>
  <si>
    <t xml:space="preserve">HAW</t>
  </si>
  <si>
    <t xml:space="preserve">9:30 PM</t>
  </si>
  <si>
    <t xml:space="preserve">UCLA</t>
  </si>
  <si>
    <t xml:space="preserve">California</t>
  </si>
  <si>
    <t xml:space="preserve">CAL</t>
  </si>
  <si>
    <t xml:space="preserve">Western Kentucky</t>
  </si>
  <si>
    <t xml:space="preserve">WKU</t>
  </si>
  <si>
    <t xml:space="preserve">Nevada</t>
  </si>
  <si>
    <t xml:space="preserve">NEV</t>
  </si>
  <si>
    <t xml:space="preserve">2026-09-06</t>
  </si>
  <si>
    <t xml:space="preserve">Sun</t>
  </si>
  <si>
    <t xml:space="preserve">3:00 PM</t>
  </si>
  <si>
    <t xml:space="preserve">Washington State</t>
  </si>
  <si>
    <t xml:space="preserve">WSU</t>
  </si>
  <si>
    <t xml:space="preserve">Washington</t>
  </si>
  <si>
    <t xml:space="preserve">WASH</t>
  </si>
  <si>
    <t xml:space="preserve">Wisconsin</t>
  </si>
  <si>
    <t xml:space="preserve">WIS</t>
  </si>
  <si>
    <t xml:space="preserve">Notre Dame</t>
  </si>
  <si>
    <t xml:space="preserve">ND</t>
  </si>
  <si>
    <t xml:space="preserve">Louisville</t>
  </si>
  <si>
    <t xml:space="preserve">LOU</t>
  </si>
  <si>
    <t xml:space="preserve">Ole Miss</t>
  </si>
  <si>
    <t xml:space="preserve">MISS</t>
  </si>
  <si>
    <t xml:space="preserve">2026-09-07</t>
  </si>
  <si>
    <t xml:space="preserve">Mon</t>
  </si>
  <si>
    <t xml:space="preserve">SMU</t>
  </si>
  <si>
    <t xml:space="preserve">Florida State</t>
  </si>
  <si>
    <t xml:space="preserve">FSU</t>
  </si>
  <si>
    <t xml:space="preserve">Tiebreaker game - predict combined total score</t>
  </si>
  <si>
    <t xml:space="preserve">TIEBREAKER</t>
  </si>
  <si>
    <t xml:space="preserve">SMU at Florida State, Mon Sep 7 6:30 PM - predict combined total score (whole number 0-200)</t>
  </si>
  <si>
    <t xml:space="preserve">Your guess:</t>
  </si>
  <si>
    <t xml:space="preserve">Legend &amp; Assumptions</t>
  </si>
  <si>
    <t xml:space="preserve">Source</t>
  </si>
  <si>
    <t xml:space="preserve">All matchups, spreads, totals and kickoff times transcribed by hand from four pool screenshots supplied by the user (Sep 3-7, 2026 slate). No odds feed was used.</t>
  </si>
  <si>
    <t xml:space="preserve">Game count</t>
  </si>
  <si>
    <t xml:space="preserve">43 total: 4 Thu Sep 3, 5 Fri Sep 4, 30 Sat Sep 5, 3 Sun Sep 6, 1 Mon Sep 7. Matches the per-day counts shown on the pool page.</t>
  </si>
  <si>
    <t xml:space="preserve">Home / Away</t>
  </si>
  <si>
    <t xml:space="preserve">ASSUMPTION: the team listed first on each pool card is treated as the away team. The pool page does not label home/away explicitly. Verify before using any home-field adjustment.</t>
  </si>
  <si>
    <t xml:space="preserve">Away Line / Home Line</t>
  </si>
  <si>
    <t xml:space="preserve">The point spread as shown for that team. Negative = favored, positive = underdog.</t>
  </si>
  <si>
    <t xml:space="preserve">Favorite / Fav Line</t>
  </si>
  <si>
    <t xml:space="preserve">Formulas, not typed. Favorite = the team with the negative line; Fav Line = MIN of the two lines.</t>
  </si>
  <si>
    <t xml:space="preserve">The over/under number shown on the card.</t>
  </si>
  <si>
    <t xml:space="preserve">Times as displayed on the pool page, assumed Central. Confirm if the site renders in a different zone.</t>
  </si>
  <si>
    <t xml:space="preserve">Rank columns</t>
  </si>
  <si>
    <t xml:space="preserve">AP/pool ranking shown next to the team logo. Blank = unranked on the card.</t>
  </si>
  <si>
    <t xml:space="preserve">YELLOW - your input. Dropdown limited to the two teams in that game.</t>
  </si>
  <si>
    <t xml:space="preserve">YELLOW - your input. Dropdown: Over / Under.</t>
  </si>
  <si>
    <t xml:space="preserve">Tiebreaker</t>
  </si>
  <si>
    <t xml:space="preserve">YELLOW - your input. Whole number, combined score of SMU-FSU.</t>
  </si>
  <si>
    <t xml:space="preserve">Totals confirmed</t>
  </si>
  <si>
    <t xml:space="preserve">Coastal Carolina at West Virginia and Ball State at Ohio State are both 56.5, confirmed by the user against the live board.</t>
  </si>
  <si>
    <t xml:space="preserve">Line check</t>
  </si>
  <si>
    <t xml:space="preserve">Clemson +10.5 at LSU was entered exactly as displayed. It is a large number for that matchup, so worth a glance before you model it.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</si>
</sst>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+0.0;\-0.0;0.0"/>
    <numFmt numFmtId="166" formatCode="0.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F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1"/>
    <col collapsed="false" customWidth="true" hidden="false" outlineLevel="0" max="3" min="3" style="0" width="6"/>
    <col collapsed="false" customWidth="true" hidden="false" outlineLevel="0" max="4" min="4" style="0" width="11"/>
    <col collapsed="false" customWidth="true" hidden="false" outlineLevel="0" max="5" min="5" style="0" width="20"/>
    <col collapsed="false" customWidth="true" hidden="false" outlineLevel="0" max="7" min="6" style="0" width="7"/>
    <col collapsed="false" customWidth="true" hidden="false" outlineLevel="0" max="8" min="8" style="0" width="9"/>
    <col collapsed="false" customWidth="true" hidden="false" outlineLevel="0" max="9" min="9" style="0" width="20"/>
    <col collapsed="false" customWidth="true" hidden="false" outlineLevel="0" max="11" min="10" style="0" width="7"/>
    <col collapsed="false" customWidth="true" hidden="false" outlineLevel="0" max="14" min="12" style="0" width="9"/>
    <col collapsed="false" customWidth="true" hidden="false" outlineLevel="0" max="15" min="15" style="0" width="10"/>
    <col collapsed="false" customWidth="true" hidden="false" outlineLevel="0" max="16" min="16" style="0" width="13"/>
    <col collapsed="false" customWidth="true" hidden="false" outlineLevel="0" max="17" min="17" style="0" width="10"/>
    <col collapsed="false" customWidth="true" hidden="false" outlineLevel="0" max="18" min="18" style="0" width="4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</row>
    <row r="5" customFormat="false" ht="15" hidden="false" customHeight="false" outlineLevel="0" collapsed="false">
      <c r="A5" s="4" t="n">
        <v>1</v>
      </c>
      <c r="B5" s="5" t="s">
        <v>20</v>
      </c>
      <c r="C5" s="4" t="s">
        <v>21</v>
      </c>
      <c r="D5" s="4" t="s">
        <v>22</v>
      </c>
      <c r="E5" s="5" t="s">
        <v>23</v>
      </c>
      <c r="F5" s="4" t="s">
        <v>24</v>
      </c>
      <c r="G5" s="4"/>
      <c r="H5" s="6" t="n">
        <v>29.5</v>
      </c>
      <c r="I5" s="5" t="s">
        <v>25</v>
      </c>
      <c r="J5" s="4" t="s">
        <v>26</v>
      </c>
      <c r="K5" s="4"/>
      <c r="L5" s="6" t="n">
        <v>-29.5</v>
      </c>
      <c r="M5" s="4" t="str">
        <f aca="false">IF(H5&lt;L5,F5,J5)</f>
        <v>RUTG</v>
      </c>
      <c r="N5" s="6" t="n">
        <f aca="false">MIN(H5,L5)</f>
        <v>-29.5</v>
      </c>
      <c r="O5" s="7" t="n">
        <v>51.5</v>
      </c>
      <c r="P5" s="8"/>
      <c r="Q5" s="8"/>
      <c r="R5" s="5"/>
    </row>
    <row r="6" customFormat="false" ht="15" hidden="false" customHeight="false" outlineLevel="0" collapsed="false">
      <c r="A6" s="4" t="n">
        <v>2</v>
      </c>
      <c r="B6" s="5" t="s">
        <v>20</v>
      </c>
      <c r="C6" s="4" t="s">
        <v>21</v>
      </c>
      <c r="D6" s="4" t="s">
        <v>27</v>
      </c>
      <c r="E6" s="5" t="s">
        <v>28</v>
      </c>
      <c r="F6" s="4" t="s">
        <v>29</v>
      </c>
      <c r="G6" s="4"/>
      <c r="H6" s="6" t="n">
        <v>24.5</v>
      </c>
      <c r="I6" s="5" t="s">
        <v>30</v>
      </c>
      <c r="J6" s="4" t="s">
        <v>31</v>
      </c>
      <c r="K6" s="4"/>
      <c r="L6" s="6" t="n">
        <v>-24.5</v>
      </c>
      <c r="M6" s="4" t="str">
        <f aca="false">IF(H6&lt;L6,F6,J6)</f>
        <v>WAKE</v>
      </c>
      <c r="N6" s="6" t="n">
        <f aca="false">MIN(H6,L6)</f>
        <v>-24.5</v>
      </c>
      <c r="O6" s="7" t="n">
        <v>48.5</v>
      </c>
      <c r="P6" s="8"/>
      <c r="Q6" s="8"/>
      <c r="R6" s="5"/>
    </row>
    <row r="7" customFormat="false" ht="15" hidden="false" customHeight="false" outlineLevel="0" collapsed="false">
      <c r="A7" s="4" t="n">
        <v>3</v>
      </c>
      <c r="B7" s="5" t="s">
        <v>20</v>
      </c>
      <c r="C7" s="4" t="s">
        <v>21</v>
      </c>
      <c r="D7" s="4" t="s">
        <v>32</v>
      </c>
      <c r="E7" s="5" t="s">
        <v>33</v>
      </c>
      <c r="F7" s="4" t="s">
        <v>34</v>
      </c>
      <c r="G7" s="4"/>
      <c r="H7" s="6" t="n">
        <v>6.5</v>
      </c>
      <c r="I7" s="5" t="s">
        <v>35</v>
      </c>
      <c r="J7" s="4" t="s">
        <v>36</v>
      </c>
      <c r="K7" s="4"/>
      <c r="L7" s="6" t="n">
        <v>-6.5</v>
      </c>
      <c r="M7" s="4" t="str">
        <f aca="false">IF(H7&lt;L7,F7,J7)</f>
        <v>GT</v>
      </c>
      <c r="N7" s="6" t="n">
        <f aca="false">MIN(H7,L7)</f>
        <v>-6.5</v>
      </c>
      <c r="O7" s="7" t="n">
        <v>50.5</v>
      </c>
      <c r="P7" s="8"/>
      <c r="Q7" s="8"/>
      <c r="R7" s="5"/>
    </row>
    <row r="8" customFormat="false" ht="15" hidden="false" customHeight="false" outlineLevel="0" collapsed="false">
      <c r="A8" s="4" t="n">
        <v>4</v>
      </c>
      <c r="B8" s="5" t="s">
        <v>20</v>
      </c>
      <c r="C8" s="4" t="s">
        <v>21</v>
      </c>
      <c r="D8" s="4" t="s">
        <v>37</v>
      </c>
      <c r="E8" s="5" t="s">
        <v>38</v>
      </c>
      <c r="F8" s="4" t="s">
        <v>38</v>
      </c>
      <c r="G8" s="4"/>
      <c r="H8" s="6" t="n">
        <v>27.5</v>
      </c>
      <c r="I8" s="5" t="s">
        <v>39</v>
      </c>
      <c r="J8" s="4" t="s">
        <v>40</v>
      </c>
      <c r="K8" s="4"/>
      <c r="L8" s="6" t="n">
        <v>-27.5</v>
      </c>
      <c r="M8" s="4" t="str">
        <f aca="false">IF(H8&lt;L8,F8,J8)</f>
        <v>ILL</v>
      </c>
      <c r="N8" s="6" t="n">
        <f aca="false">MIN(H8,L8)</f>
        <v>-27.5</v>
      </c>
      <c r="O8" s="7" t="n">
        <v>55.5</v>
      </c>
      <c r="P8" s="8"/>
      <c r="Q8" s="8"/>
      <c r="R8" s="5"/>
    </row>
    <row r="9" customFormat="false" ht="15" hidden="false" customHeight="false" outlineLevel="0" collapsed="false">
      <c r="A9" s="4" t="n">
        <v>5</v>
      </c>
      <c r="B9" s="5" t="s">
        <v>41</v>
      </c>
      <c r="C9" s="4" t="s">
        <v>42</v>
      </c>
      <c r="D9" s="4" t="s">
        <v>43</v>
      </c>
      <c r="E9" s="5" t="s">
        <v>44</v>
      </c>
      <c r="F9" s="4" t="s">
        <v>45</v>
      </c>
      <c r="G9" s="4"/>
      <c r="H9" s="6" t="n">
        <v>3.5</v>
      </c>
      <c r="I9" s="5" t="s">
        <v>46</v>
      </c>
      <c r="J9" s="4" t="s">
        <v>47</v>
      </c>
      <c r="K9" s="4"/>
      <c r="L9" s="6" t="n">
        <v>-3.5</v>
      </c>
      <c r="M9" s="4" t="str">
        <f aca="false">IF(H9&lt;L9,F9,J9)</f>
        <v>EMU</v>
      </c>
      <c r="N9" s="6" t="n">
        <f aca="false">MIN(H9,L9)</f>
        <v>-3.5</v>
      </c>
      <c r="O9" s="7" t="n">
        <v>54.5</v>
      </c>
      <c r="P9" s="8"/>
      <c r="Q9" s="8"/>
      <c r="R9" s="5"/>
    </row>
    <row r="10" customFormat="false" ht="15" hidden="false" customHeight="false" outlineLevel="0" collapsed="false">
      <c r="A10" s="4" t="n">
        <v>6</v>
      </c>
      <c r="B10" s="5" t="s">
        <v>41</v>
      </c>
      <c r="C10" s="4" t="s">
        <v>42</v>
      </c>
      <c r="D10" s="4" t="s">
        <v>32</v>
      </c>
      <c r="E10" s="5" t="s">
        <v>48</v>
      </c>
      <c r="F10" s="4" t="s">
        <v>48</v>
      </c>
      <c r="G10" s="4"/>
      <c r="H10" s="6" t="n">
        <v>41.5</v>
      </c>
      <c r="I10" s="5" t="s">
        <v>49</v>
      </c>
      <c r="J10" s="4" t="s">
        <v>50</v>
      </c>
      <c r="K10" s="4" t="n">
        <v>10</v>
      </c>
      <c r="L10" s="6" t="n">
        <v>-41.5</v>
      </c>
      <c r="M10" s="4" t="str">
        <f aca="false">IF(H10&lt;L10,F10,J10)</f>
        <v>OKLA</v>
      </c>
      <c r="N10" s="6" t="n">
        <f aca="false">MIN(H10,L10)</f>
        <v>-41.5</v>
      </c>
      <c r="O10" s="7" t="n">
        <v>50.5</v>
      </c>
      <c r="P10" s="8"/>
      <c r="Q10" s="8"/>
      <c r="R10" s="5"/>
    </row>
    <row r="11" customFormat="false" ht="15" hidden="false" customHeight="false" outlineLevel="0" collapsed="false">
      <c r="A11" s="4" t="n">
        <v>7</v>
      </c>
      <c r="B11" s="5" t="s">
        <v>41</v>
      </c>
      <c r="C11" s="4" t="s">
        <v>42</v>
      </c>
      <c r="D11" s="4" t="s">
        <v>32</v>
      </c>
      <c r="E11" s="5" t="s">
        <v>51</v>
      </c>
      <c r="F11" s="4" t="s">
        <v>52</v>
      </c>
      <c r="G11" s="4"/>
      <c r="H11" s="6" t="n">
        <v>10.5</v>
      </c>
      <c r="I11" s="5" t="s">
        <v>53</v>
      </c>
      <c r="J11" s="4" t="s">
        <v>54</v>
      </c>
      <c r="K11" s="4"/>
      <c r="L11" s="6" t="n">
        <v>-10.5</v>
      </c>
      <c r="M11" s="4" t="str">
        <f aca="false">IF(H11&lt;L11,F11,J11)</f>
        <v>MSU</v>
      </c>
      <c r="N11" s="6" t="n">
        <f aca="false">MIN(H11,L11)</f>
        <v>-10.5</v>
      </c>
      <c r="O11" s="7" t="n">
        <v>46.5</v>
      </c>
      <c r="P11" s="8"/>
      <c r="Q11" s="8"/>
      <c r="R11" s="5"/>
    </row>
    <row r="12" customFormat="false" ht="15" hidden="false" customHeight="false" outlineLevel="0" collapsed="false">
      <c r="A12" s="4" t="n">
        <v>8</v>
      </c>
      <c r="B12" s="5" t="s">
        <v>41</v>
      </c>
      <c r="C12" s="4" t="s">
        <v>42</v>
      </c>
      <c r="D12" s="4" t="s">
        <v>37</v>
      </c>
      <c r="E12" s="5" t="s">
        <v>55</v>
      </c>
      <c r="F12" s="4" t="s">
        <v>56</v>
      </c>
      <c r="G12" s="4"/>
      <c r="H12" s="6" t="n">
        <v>21.5</v>
      </c>
      <c r="I12" s="5" t="s">
        <v>57</v>
      </c>
      <c r="J12" s="4" t="s">
        <v>57</v>
      </c>
      <c r="K12" s="4" t="n">
        <v>14</v>
      </c>
      <c r="L12" s="6" t="n">
        <v>-21.5</v>
      </c>
      <c r="M12" s="4" t="str">
        <f aca="false">IF(H12&lt;L12,F12,J12)</f>
        <v>USC</v>
      </c>
      <c r="N12" s="6" t="n">
        <f aca="false">MIN(H12,L12)</f>
        <v>-21.5</v>
      </c>
      <c r="O12" s="7" t="n">
        <v>51.5</v>
      </c>
      <c r="P12" s="8"/>
      <c r="Q12" s="8"/>
      <c r="R12" s="5"/>
    </row>
    <row r="13" customFormat="false" ht="15" hidden="false" customHeight="false" outlineLevel="0" collapsed="false">
      <c r="A13" s="4" t="n">
        <v>9</v>
      </c>
      <c r="B13" s="5" t="s">
        <v>41</v>
      </c>
      <c r="C13" s="4" t="s">
        <v>42</v>
      </c>
      <c r="D13" s="4" t="s">
        <v>37</v>
      </c>
      <c r="E13" s="5" t="s">
        <v>58</v>
      </c>
      <c r="F13" s="4" t="s">
        <v>59</v>
      </c>
      <c r="G13" s="4"/>
      <c r="H13" s="6" t="n">
        <v>-24.5</v>
      </c>
      <c r="I13" s="5" t="s">
        <v>60</v>
      </c>
      <c r="J13" s="4" t="s">
        <v>61</v>
      </c>
      <c r="K13" s="4"/>
      <c r="L13" s="6" t="n">
        <v>24.5</v>
      </c>
      <c r="M13" s="4" t="str">
        <f aca="false">IF(H13&lt;L13,F13,J13)</f>
        <v>MIA</v>
      </c>
      <c r="N13" s="6" t="n">
        <f aca="false">MIN(H13,L13)</f>
        <v>-24.5</v>
      </c>
      <c r="O13" s="7" t="n">
        <v>47.5</v>
      </c>
      <c r="P13" s="8"/>
      <c r="Q13" s="8"/>
      <c r="R13" s="5"/>
    </row>
    <row r="14" customFormat="false" ht="15" hidden="false" customHeight="false" outlineLevel="0" collapsed="false">
      <c r="A14" s="4" t="n">
        <v>10</v>
      </c>
      <c r="B14" s="5" t="s">
        <v>62</v>
      </c>
      <c r="C14" s="4" t="s">
        <v>63</v>
      </c>
      <c r="D14" s="4" t="s">
        <v>64</v>
      </c>
      <c r="E14" s="5" t="s">
        <v>65</v>
      </c>
      <c r="F14" s="4" t="s">
        <v>66</v>
      </c>
      <c r="G14" s="4"/>
      <c r="H14" s="6" t="n">
        <v>40.5</v>
      </c>
      <c r="I14" s="5" t="s">
        <v>67</v>
      </c>
      <c r="J14" s="4" t="s">
        <v>68</v>
      </c>
      <c r="K14" s="4" t="n">
        <v>9</v>
      </c>
      <c r="L14" s="6" t="n">
        <v>-40.5</v>
      </c>
      <c r="M14" s="4" t="str">
        <f aca="false">IF(H14&lt;L14,F14,J14)</f>
        <v>IND</v>
      </c>
      <c r="N14" s="6" t="n">
        <f aca="false">MIN(H14,L14)</f>
        <v>-40.5</v>
      </c>
      <c r="O14" s="7" t="n">
        <v>55.5</v>
      </c>
      <c r="P14" s="8"/>
      <c r="Q14" s="8"/>
      <c r="R14" s="5"/>
    </row>
    <row r="15" customFormat="false" ht="15" hidden="false" customHeight="false" outlineLevel="0" collapsed="false">
      <c r="A15" s="4" t="n">
        <v>11</v>
      </c>
      <c r="B15" s="5" t="s">
        <v>62</v>
      </c>
      <c r="C15" s="4" t="s">
        <v>63</v>
      </c>
      <c r="D15" s="4" t="s">
        <v>64</v>
      </c>
      <c r="E15" s="5" t="s">
        <v>69</v>
      </c>
      <c r="F15" s="4" t="s">
        <v>70</v>
      </c>
      <c r="G15" s="4"/>
      <c r="H15" s="6" t="n">
        <v>21.5</v>
      </c>
      <c r="I15" s="5" t="s">
        <v>71</v>
      </c>
      <c r="J15" s="4" t="s">
        <v>72</v>
      </c>
      <c r="K15" s="4"/>
      <c r="L15" s="6" t="n">
        <v>-21.5</v>
      </c>
      <c r="M15" s="4" t="str">
        <f aca="false">IF(H15&lt;L15,F15,J15)</f>
        <v>WVU</v>
      </c>
      <c r="N15" s="6" t="n">
        <f aca="false">MIN(H15,L15)</f>
        <v>-21.5</v>
      </c>
      <c r="O15" s="7" t="n">
        <v>56.5</v>
      </c>
      <c r="P15" s="8"/>
      <c r="Q15" s="8"/>
      <c r="R15" s="5"/>
    </row>
    <row r="16" customFormat="false" ht="15" hidden="false" customHeight="false" outlineLevel="0" collapsed="false">
      <c r="A16" s="4" t="n">
        <v>12</v>
      </c>
      <c r="B16" s="5" t="s">
        <v>62</v>
      </c>
      <c r="C16" s="4" t="s">
        <v>63</v>
      </c>
      <c r="D16" s="4" t="s">
        <v>64</v>
      </c>
      <c r="E16" s="5" t="s">
        <v>73</v>
      </c>
      <c r="F16" s="4" t="s">
        <v>74</v>
      </c>
      <c r="G16" s="4"/>
      <c r="H16" s="6" t="n">
        <v>24.5</v>
      </c>
      <c r="I16" s="5" t="s">
        <v>75</v>
      </c>
      <c r="J16" s="4" t="s">
        <v>76</v>
      </c>
      <c r="K16" s="4"/>
      <c r="L16" s="6" t="n">
        <v>-24.5</v>
      </c>
      <c r="M16" s="4" t="str">
        <f aca="false">IF(H16&lt;L16,F16,J16)</f>
        <v>NEB</v>
      </c>
      <c r="N16" s="6" t="n">
        <f aca="false">MIN(H16,L16)</f>
        <v>-24.5</v>
      </c>
      <c r="O16" s="7" t="n">
        <v>47.5</v>
      </c>
      <c r="P16" s="8"/>
      <c r="Q16" s="8"/>
      <c r="R16" s="5"/>
    </row>
    <row r="17" customFormat="false" ht="15" hidden="false" customHeight="false" outlineLevel="0" collapsed="false">
      <c r="A17" s="4" t="n">
        <v>13</v>
      </c>
      <c r="B17" s="5" t="s">
        <v>62</v>
      </c>
      <c r="C17" s="4" t="s">
        <v>63</v>
      </c>
      <c r="D17" s="4" t="s">
        <v>64</v>
      </c>
      <c r="E17" s="5" t="s">
        <v>77</v>
      </c>
      <c r="F17" s="4" t="s">
        <v>78</v>
      </c>
      <c r="G17" s="4"/>
      <c r="H17" s="6" t="n">
        <v>20.5</v>
      </c>
      <c r="I17" s="5" t="s">
        <v>79</v>
      </c>
      <c r="J17" s="4" t="s">
        <v>80</v>
      </c>
      <c r="K17" s="4" t="n">
        <v>23</v>
      </c>
      <c r="L17" s="6" t="n">
        <v>-20.5</v>
      </c>
      <c r="M17" s="4" t="str">
        <f aca="false">IF(H17&lt;L17,F17,J17)</f>
        <v>HOU</v>
      </c>
      <c r="N17" s="6" t="n">
        <f aca="false">MIN(H17,L17)</f>
        <v>-20.5</v>
      </c>
      <c r="O17" s="7" t="n">
        <v>50.5</v>
      </c>
      <c r="P17" s="8"/>
      <c r="Q17" s="8"/>
      <c r="R17" s="5"/>
    </row>
    <row r="18" customFormat="false" ht="15" hidden="false" customHeight="false" outlineLevel="0" collapsed="false">
      <c r="A18" s="4" t="n">
        <v>14</v>
      </c>
      <c r="B18" s="5" t="s">
        <v>62</v>
      </c>
      <c r="C18" s="4" t="s">
        <v>63</v>
      </c>
      <c r="D18" s="4" t="s">
        <v>64</v>
      </c>
      <c r="E18" s="5" t="s">
        <v>81</v>
      </c>
      <c r="F18" s="4" t="s">
        <v>82</v>
      </c>
      <c r="G18" s="4"/>
      <c r="H18" s="6" t="n">
        <v>28.5</v>
      </c>
      <c r="I18" s="5" t="s">
        <v>83</v>
      </c>
      <c r="J18" s="4" t="s">
        <v>84</v>
      </c>
      <c r="K18" s="4" t="n">
        <v>13</v>
      </c>
      <c r="L18" s="6" t="n">
        <v>-28.5</v>
      </c>
      <c r="M18" s="4" t="str">
        <f aca="false">IF(H18&lt;L18,F18,J18)</f>
        <v>ALA</v>
      </c>
      <c r="N18" s="6" t="n">
        <f aca="false">MIN(H18,L18)</f>
        <v>-28.5</v>
      </c>
      <c r="O18" s="7" t="n">
        <v>53.5</v>
      </c>
      <c r="P18" s="8"/>
      <c r="Q18" s="8"/>
      <c r="R18" s="5"/>
    </row>
    <row r="19" customFormat="false" ht="15" hidden="false" customHeight="false" outlineLevel="0" collapsed="false">
      <c r="A19" s="4" t="n">
        <v>15</v>
      </c>
      <c r="B19" s="5" t="s">
        <v>62</v>
      </c>
      <c r="C19" s="4" t="s">
        <v>63</v>
      </c>
      <c r="D19" s="4" t="s">
        <v>64</v>
      </c>
      <c r="E19" s="5" t="s">
        <v>85</v>
      </c>
      <c r="F19" s="4" t="s">
        <v>86</v>
      </c>
      <c r="G19" s="4"/>
      <c r="H19" s="6" t="n">
        <v>8.5</v>
      </c>
      <c r="I19" s="5" t="s">
        <v>87</v>
      </c>
      <c r="J19" s="4" t="s">
        <v>88</v>
      </c>
      <c r="K19" s="4"/>
      <c r="L19" s="6" t="n">
        <v>-8.5</v>
      </c>
      <c r="M19" s="4" t="str">
        <f aca="false">IF(H19&lt;L19,F19,J19)</f>
        <v>JMU</v>
      </c>
      <c r="N19" s="6" t="n">
        <f aca="false">MIN(H19,L19)</f>
        <v>-8.5</v>
      </c>
      <c r="O19" s="7" t="n">
        <v>52.5</v>
      </c>
      <c r="P19" s="8"/>
      <c r="Q19" s="8"/>
      <c r="R19" s="5"/>
    </row>
    <row r="20" customFormat="false" ht="15" hidden="false" customHeight="false" outlineLevel="0" collapsed="false">
      <c r="A20" s="4" t="n">
        <v>16</v>
      </c>
      <c r="B20" s="5" t="s">
        <v>62</v>
      </c>
      <c r="C20" s="4" t="s">
        <v>63</v>
      </c>
      <c r="D20" s="4" t="s">
        <v>89</v>
      </c>
      <c r="E20" s="5" t="s">
        <v>90</v>
      </c>
      <c r="F20" s="4" t="s">
        <v>91</v>
      </c>
      <c r="G20" s="4"/>
      <c r="H20" s="6" t="n">
        <v>16.5</v>
      </c>
      <c r="I20" s="5" t="s">
        <v>92</v>
      </c>
      <c r="J20" s="4" t="s">
        <v>93</v>
      </c>
      <c r="K20" s="4"/>
      <c r="L20" s="6" t="n">
        <v>-16.5</v>
      </c>
      <c r="M20" s="4" t="str">
        <f aca="false">IF(H20&lt;L20,F20,J20)</f>
        <v>PITT</v>
      </c>
      <c r="N20" s="6" t="n">
        <f aca="false">MIN(H20,L20)</f>
        <v>-16.5</v>
      </c>
      <c r="O20" s="7" t="n">
        <v>48.5</v>
      </c>
      <c r="P20" s="8"/>
      <c r="Q20" s="8"/>
      <c r="R20" s="5"/>
    </row>
    <row r="21" customFormat="false" ht="15" hidden="false" customHeight="false" outlineLevel="0" collapsed="false">
      <c r="A21" s="4" t="n">
        <v>17</v>
      </c>
      <c r="B21" s="5" t="s">
        <v>62</v>
      </c>
      <c r="C21" s="4" t="s">
        <v>63</v>
      </c>
      <c r="D21" s="4" t="s">
        <v>89</v>
      </c>
      <c r="E21" s="5" t="s">
        <v>94</v>
      </c>
      <c r="F21" s="4" t="s">
        <v>95</v>
      </c>
      <c r="G21" s="4"/>
      <c r="H21" s="6" t="n">
        <v>50.5</v>
      </c>
      <c r="I21" s="5" t="s">
        <v>96</v>
      </c>
      <c r="J21" s="4" t="s">
        <v>97</v>
      </c>
      <c r="K21" s="4" t="n">
        <v>1</v>
      </c>
      <c r="L21" s="6" t="n">
        <v>-50.5</v>
      </c>
      <c r="M21" s="4" t="str">
        <f aca="false">IF(H21&lt;L21,F21,J21)</f>
        <v>OSU</v>
      </c>
      <c r="N21" s="6" t="n">
        <f aca="false">MIN(H21,L21)</f>
        <v>-50.5</v>
      </c>
      <c r="O21" s="7" t="n">
        <v>56.5</v>
      </c>
      <c r="P21" s="8"/>
      <c r="Q21" s="8"/>
      <c r="R21" s="5"/>
    </row>
    <row r="22" customFormat="false" ht="15" hidden="false" customHeight="false" outlineLevel="0" collapsed="false">
      <c r="A22" s="4" t="n">
        <v>18</v>
      </c>
      <c r="B22" s="5" t="s">
        <v>62</v>
      </c>
      <c r="C22" s="4" t="s">
        <v>63</v>
      </c>
      <c r="D22" s="4" t="s">
        <v>98</v>
      </c>
      <c r="E22" s="5" t="s">
        <v>99</v>
      </c>
      <c r="F22" s="4" t="s">
        <v>100</v>
      </c>
      <c r="G22" s="4"/>
      <c r="H22" s="6" t="n">
        <v>36.5</v>
      </c>
      <c r="I22" s="5" t="s">
        <v>101</v>
      </c>
      <c r="J22" s="4" t="s">
        <v>102</v>
      </c>
      <c r="K22" s="4"/>
      <c r="L22" s="6" t="n">
        <v>-36.5</v>
      </c>
      <c r="M22" s="4" t="str">
        <f aca="false">IF(H22&lt;L22,F22,J22)</f>
        <v>SCAR</v>
      </c>
      <c r="N22" s="6" t="n">
        <f aca="false">MIN(H22,L22)</f>
        <v>-36.5</v>
      </c>
      <c r="O22" s="7" t="n">
        <v>54.5</v>
      </c>
      <c r="P22" s="8"/>
      <c r="Q22" s="8"/>
      <c r="R22" s="5"/>
    </row>
    <row r="23" customFormat="false" ht="15" hidden="false" customHeight="false" outlineLevel="0" collapsed="false">
      <c r="A23" s="4" t="n">
        <v>19</v>
      </c>
      <c r="B23" s="5" t="s">
        <v>62</v>
      </c>
      <c r="C23" s="4" t="s">
        <v>63</v>
      </c>
      <c r="D23" s="4" t="s">
        <v>103</v>
      </c>
      <c r="E23" s="5" t="s">
        <v>104</v>
      </c>
      <c r="F23" s="4" t="s">
        <v>105</v>
      </c>
      <c r="G23" s="4"/>
      <c r="H23" s="6" t="n">
        <v>24.5</v>
      </c>
      <c r="I23" s="5" t="s">
        <v>106</v>
      </c>
      <c r="J23" s="4" t="s">
        <v>107</v>
      </c>
      <c r="K23" s="4" t="n">
        <v>16</v>
      </c>
      <c r="L23" s="6" t="n">
        <v>-24.5</v>
      </c>
      <c r="M23" s="4" t="str">
        <f aca="false">IF(H23&lt;L23,F23,J23)</f>
        <v>PSU</v>
      </c>
      <c r="N23" s="6" t="n">
        <f aca="false">MIN(H23,L23)</f>
        <v>-24.5</v>
      </c>
      <c r="O23" s="7" t="n">
        <v>53.5</v>
      </c>
      <c r="P23" s="8"/>
      <c r="Q23" s="8"/>
      <c r="R23" s="5"/>
    </row>
    <row r="24" customFormat="false" ht="15" hidden="false" customHeight="false" outlineLevel="0" collapsed="false">
      <c r="A24" s="4" t="n">
        <v>20</v>
      </c>
      <c r="B24" s="5" t="s">
        <v>62</v>
      </c>
      <c r="C24" s="4" t="s">
        <v>63</v>
      </c>
      <c r="D24" s="4" t="s">
        <v>103</v>
      </c>
      <c r="E24" s="5" t="s">
        <v>108</v>
      </c>
      <c r="F24" s="4" t="s">
        <v>109</v>
      </c>
      <c r="G24" s="4"/>
      <c r="H24" s="6" t="n">
        <v>7.5</v>
      </c>
      <c r="I24" s="5" t="s">
        <v>110</v>
      </c>
      <c r="J24" s="4" t="s">
        <v>111</v>
      </c>
      <c r="K24" s="4"/>
      <c r="L24" s="6" t="n">
        <v>-7.5</v>
      </c>
      <c r="M24" s="4" t="str">
        <f aca="false">IF(H24&lt;L24,F24,J24)</f>
        <v>CIN</v>
      </c>
      <c r="N24" s="6" t="n">
        <f aca="false">MIN(H24,L24)</f>
        <v>-7.5</v>
      </c>
      <c r="O24" s="7" t="n">
        <v>49.5</v>
      </c>
      <c r="P24" s="8"/>
      <c r="Q24" s="8"/>
      <c r="R24" s="5"/>
    </row>
    <row r="25" customFormat="false" ht="15" hidden="false" customHeight="false" outlineLevel="0" collapsed="false">
      <c r="A25" s="4" t="n">
        <v>21</v>
      </c>
      <c r="B25" s="5" t="s">
        <v>62</v>
      </c>
      <c r="C25" s="4" t="s">
        <v>63</v>
      </c>
      <c r="D25" s="4" t="s">
        <v>103</v>
      </c>
      <c r="E25" s="5" t="s">
        <v>112</v>
      </c>
      <c r="F25" s="4" t="s">
        <v>113</v>
      </c>
      <c r="G25" s="4"/>
      <c r="H25" s="6" t="n">
        <v>30.5</v>
      </c>
      <c r="I25" s="5" t="s">
        <v>114</v>
      </c>
      <c r="J25" s="4" t="s">
        <v>115</v>
      </c>
      <c r="K25" s="4" t="n">
        <v>5</v>
      </c>
      <c r="L25" s="6" t="n">
        <v>-30.5</v>
      </c>
      <c r="M25" s="4" t="str">
        <f aca="false">IF(H25&lt;L25,F25,J25)</f>
        <v>TEX</v>
      </c>
      <c r="N25" s="6" t="n">
        <f aca="false">MIN(H25,L25)</f>
        <v>-30.5</v>
      </c>
      <c r="O25" s="7" t="n">
        <v>60.5</v>
      </c>
      <c r="P25" s="8"/>
      <c r="Q25" s="8"/>
      <c r="R25" s="5"/>
    </row>
    <row r="26" customFormat="false" ht="15" hidden="false" customHeight="false" outlineLevel="0" collapsed="false">
      <c r="A26" s="4" t="n">
        <v>22</v>
      </c>
      <c r="B26" s="5" t="s">
        <v>62</v>
      </c>
      <c r="C26" s="4" t="s">
        <v>63</v>
      </c>
      <c r="D26" s="4" t="s">
        <v>103</v>
      </c>
      <c r="E26" s="5" t="s">
        <v>116</v>
      </c>
      <c r="F26" s="4" t="s">
        <v>117</v>
      </c>
      <c r="G26" s="4"/>
      <c r="H26" s="6" t="n">
        <v>24.5</v>
      </c>
      <c r="I26" s="5" t="s">
        <v>118</v>
      </c>
      <c r="J26" s="4" t="s">
        <v>119</v>
      </c>
      <c r="K26" s="4" t="n">
        <v>2</v>
      </c>
      <c r="L26" s="6" t="n">
        <v>-24.5</v>
      </c>
      <c r="M26" s="4" t="str">
        <f aca="false">IF(H26&lt;L26,F26,J26)</f>
        <v>ORE</v>
      </c>
      <c r="N26" s="6" t="n">
        <f aca="false">MIN(H26,L26)</f>
        <v>-24.5</v>
      </c>
      <c r="O26" s="7" t="n">
        <v>51.5</v>
      </c>
      <c r="P26" s="8"/>
      <c r="Q26" s="8"/>
      <c r="R26" s="5"/>
    </row>
    <row r="27" customFormat="false" ht="15" hidden="false" customHeight="false" outlineLevel="0" collapsed="false">
      <c r="A27" s="4" t="n">
        <v>23</v>
      </c>
      <c r="B27" s="5" t="s">
        <v>62</v>
      </c>
      <c r="C27" s="4" t="s">
        <v>63</v>
      </c>
      <c r="D27" s="4" t="s">
        <v>103</v>
      </c>
      <c r="E27" s="5" t="s">
        <v>120</v>
      </c>
      <c r="F27" s="4" t="s">
        <v>121</v>
      </c>
      <c r="G27" s="4"/>
      <c r="H27" s="6" t="n">
        <v>9.5</v>
      </c>
      <c r="I27" s="5" t="s">
        <v>122</v>
      </c>
      <c r="J27" s="4" t="s">
        <v>123</v>
      </c>
      <c r="K27" s="4"/>
      <c r="L27" s="6" t="n">
        <v>-9.5</v>
      </c>
      <c r="M27" s="4" t="str">
        <f aca="false">IF(H27&lt;L27,F27,J27)</f>
        <v>DUKE</v>
      </c>
      <c r="N27" s="6" t="n">
        <f aca="false">MIN(H27,L27)</f>
        <v>-9.5</v>
      </c>
      <c r="O27" s="7" t="n">
        <v>51.5</v>
      </c>
      <c r="P27" s="8"/>
      <c r="Q27" s="8"/>
      <c r="R27" s="5"/>
    </row>
    <row r="28" customFormat="false" ht="15" hidden="false" customHeight="false" outlineLevel="0" collapsed="false">
      <c r="A28" s="4" t="n">
        <v>24</v>
      </c>
      <c r="B28" s="5" t="s">
        <v>62</v>
      </c>
      <c r="C28" s="4" t="s">
        <v>63</v>
      </c>
      <c r="D28" s="4" t="s">
        <v>103</v>
      </c>
      <c r="E28" s="5" t="s">
        <v>124</v>
      </c>
      <c r="F28" s="4" t="s">
        <v>125</v>
      </c>
      <c r="G28" s="4"/>
      <c r="H28" s="6" t="n">
        <v>7.5</v>
      </c>
      <c r="I28" s="5" t="s">
        <v>126</v>
      </c>
      <c r="J28" s="4" t="s">
        <v>127</v>
      </c>
      <c r="K28" s="4"/>
      <c r="L28" s="6" t="n">
        <v>-7.5</v>
      </c>
      <c r="M28" s="4" t="str">
        <f aca="false">IF(H28&lt;L28,F28,J28)</f>
        <v>AUB</v>
      </c>
      <c r="N28" s="6" t="n">
        <f aca="false">MIN(H28,L28)</f>
        <v>-7.5</v>
      </c>
      <c r="O28" s="7" t="n">
        <v>58.5</v>
      </c>
      <c r="P28" s="8"/>
      <c r="Q28" s="8"/>
      <c r="R28" s="5"/>
    </row>
    <row r="29" customFormat="false" ht="15" hidden="false" customHeight="false" outlineLevel="0" collapsed="false">
      <c r="A29" s="4" t="n">
        <v>25</v>
      </c>
      <c r="B29" s="5" t="s">
        <v>62</v>
      </c>
      <c r="C29" s="4" t="s">
        <v>63</v>
      </c>
      <c r="D29" s="4" t="s">
        <v>128</v>
      </c>
      <c r="E29" s="5" t="s">
        <v>129</v>
      </c>
      <c r="F29" s="4" t="s">
        <v>130</v>
      </c>
      <c r="G29" s="4"/>
      <c r="H29" s="6" t="n">
        <v>-13.5</v>
      </c>
      <c r="I29" s="5" t="s">
        <v>131</v>
      </c>
      <c r="J29" s="4" t="s">
        <v>132</v>
      </c>
      <c r="K29" s="4"/>
      <c r="L29" s="6" t="n">
        <v>13.5</v>
      </c>
      <c r="M29" s="4" t="str">
        <f aca="false">IF(H29&lt;L29,F29,J29)</f>
        <v>OKST</v>
      </c>
      <c r="N29" s="6" t="n">
        <f aca="false">MIN(H29,L29)</f>
        <v>-13.5</v>
      </c>
      <c r="O29" s="7" t="n">
        <v>59.5</v>
      </c>
      <c r="P29" s="8"/>
      <c r="Q29" s="8"/>
      <c r="R29" s="5"/>
    </row>
    <row r="30" customFormat="false" ht="15" hidden="false" customHeight="false" outlineLevel="0" collapsed="false">
      <c r="A30" s="4" t="n">
        <v>26</v>
      </c>
      <c r="B30" s="5" t="s">
        <v>62</v>
      </c>
      <c r="C30" s="4" t="s">
        <v>63</v>
      </c>
      <c r="D30" s="4" t="s">
        <v>133</v>
      </c>
      <c r="E30" s="5" t="s">
        <v>134</v>
      </c>
      <c r="F30" s="4" t="s">
        <v>135</v>
      </c>
      <c r="G30" s="4"/>
      <c r="H30" s="6" t="n">
        <v>31.5</v>
      </c>
      <c r="I30" s="5" t="s">
        <v>136</v>
      </c>
      <c r="J30" s="4" t="s">
        <v>137</v>
      </c>
      <c r="K30" s="4" t="n">
        <v>22</v>
      </c>
      <c r="L30" s="6" t="n">
        <v>-31.5</v>
      </c>
      <c r="M30" s="4" t="str">
        <f aca="false">IF(H30&lt;L30,F30,J30)</f>
        <v>IOWA</v>
      </c>
      <c r="N30" s="6" t="n">
        <f aca="false">MIN(H30,L30)</f>
        <v>-31.5</v>
      </c>
      <c r="O30" s="7" t="n">
        <v>45.5</v>
      </c>
      <c r="P30" s="8"/>
      <c r="Q30" s="8"/>
      <c r="R30" s="5"/>
    </row>
    <row r="31" customFormat="false" ht="15" hidden="false" customHeight="false" outlineLevel="0" collapsed="false">
      <c r="A31" s="4" t="n">
        <v>27</v>
      </c>
      <c r="B31" s="5" t="s">
        <v>62</v>
      </c>
      <c r="C31" s="4" t="s">
        <v>63</v>
      </c>
      <c r="D31" s="4" t="s">
        <v>22</v>
      </c>
      <c r="E31" s="5" t="s">
        <v>138</v>
      </c>
      <c r="F31" s="4" t="s">
        <v>139</v>
      </c>
      <c r="G31" s="4"/>
      <c r="H31" s="6" t="n">
        <v>3.5</v>
      </c>
      <c r="I31" s="5" t="s">
        <v>140</v>
      </c>
      <c r="J31" s="4" t="s">
        <v>141</v>
      </c>
      <c r="K31" s="4"/>
      <c r="L31" s="6" t="n">
        <v>-3.5</v>
      </c>
      <c r="M31" s="4" t="str">
        <f aca="false">IF(H31&lt;L31,F31,J31)</f>
        <v>CSU</v>
      </c>
      <c r="N31" s="6" t="n">
        <f aca="false">MIN(H31,L31)</f>
        <v>-3.5</v>
      </c>
      <c r="O31" s="7" t="n">
        <v>46.5</v>
      </c>
      <c r="P31" s="8"/>
      <c r="Q31" s="8"/>
      <c r="R31" s="5"/>
    </row>
    <row r="32" customFormat="false" ht="15" hidden="false" customHeight="false" outlineLevel="0" collapsed="false">
      <c r="A32" s="4" t="n">
        <v>28</v>
      </c>
      <c r="B32" s="5" t="s">
        <v>62</v>
      </c>
      <c r="C32" s="4" t="s">
        <v>63</v>
      </c>
      <c r="D32" s="4" t="s">
        <v>27</v>
      </c>
      <c r="E32" s="5" t="s">
        <v>142</v>
      </c>
      <c r="F32" s="4" t="s">
        <v>143</v>
      </c>
      <c r="G32" s="4"/>
      <c r="H32" s="6" t="n">
        <v>13.5</v>
      </c>
      <c r="I32" s="5" t="s">
        <v>144</v>
      </c>
      <c r="J32" s="4" t="s">
        <v>145</v>
      </c>
      <c r="K32" s="4"/>
      <c r="L32" s="6" t="n">
        <v>-13.5</v>
      </c>
      <c r="M32" s="4" t="str">
        <f aca="false">IF(H32&lt;L32,F32,J32)</f>
        <v>USF</v>
      </c>
      <c r="N32" s="6" t="n">
        <f aca="false">MIN(H32,L32)</f>
        <v>-13.5</v>
      </c>
      <c r="O32" s="7" t="n">
        <v>51.5</v>
      </c>
      <c r="P32" s="8"/>
      <c r="Q32" s="8"/>
      <c r="R32" s="5"/>
    </row>
    <row r="33" customFormat="false" ht="15" hidden="false" customHeight="false" outlineLevel="0" collapsed="false">
      <c r="A33" s="4" t="n">
        <v>29</v>
      </c>
      <c r="B33" s="5" t="s">
        <v>62</v>
      </c>
      <c r="C33" s="4" t="s">
        <v>63</v>
      </c>
      <c r="D33" s="4" t="s">
        <v>27</v>
      </c>
      <c r="E33" s="5" t="s">
        <v>146</v>
      </c>
      <c r="F33" s="4" t="s">
        <v>147</v>
      </c>
      <c r="G33" s="4"/>
      <c r="H33" s="6" t="n">
        <v>16.5</v>
      </c>
      <c r="I33" s="5" t="s">
        <v>148</v>
      </c>
      <c r="J33" s="4" t="s">
        <v>149</v>
      </c>
      <c r="K33" s="4"/>
      <c r="L33" s="6" t="n">
        <v>-16.5</v>
      </c>
      <c r="M33" s="4" t="str">
        <f aca="false">IF(H33&lt;L33,F33,J33)</f>
        <v>TROY</v>
      </c>
      <c r="N33" s="6" t="n">
        <f aca="false">MIN(H33,L33)</f>
        <v>-16.5</v>
      </c>
      <c r="O33" s="7" t="n">
        <v>53.5</v>
      </c>
      <c r="P33" s="8"/>
      <c r="Q33" s="8"/>
      <c r="R33" s="5"/>
    </row>
    <row r="34" customFormat="false" ht="15" hidden="false" customHeight="false" outlineLevel="0" collapsed="false">
      <c r="A34" s="4" t="n">
        <v>30</v>
      </c>
      <c r="B34" s="5" t="s">
        <v>62</v>
      </c>
      <c r="C34" s="4" t="s">
        <v>63</v>
      </c>
      <c r="D34" s="4" t="s">
        <v>27</v>
      </c>
      <c r="E34" s="5" t="s">
        <v>150</v>
      </c>
      <c r="F34" s="4" t="s">
        <v>151</v>
      </c>
      <c r="G34" s="4"/>
      <c r="H34" s="6" t="n">
        <v>41.5</v>
      </c>
      <c r="I34" s="5" t="s">
        <v>152</v>
      </c>
      <c r="J34" s="4" t="s">
        <v>153</v>
      </c>
      <c r="K34" s="4" t="n">
        <v>8</v>
      </c>
      <c r="L34" s="6" t="n">
        <v>-41.5</v>
      </c>
      <c r="M34" s="4" t="str">
        <f aca="false">IF(H34&lt;L34,F34,J34)</f>
        <v>TXAM</v>
      </c>
      <c r="N34" s="6" t="n">
        <f aca="false">MIN(H34,L34)</f>
        <v>-41.5</v>
      </c>
      <c r="O34" s="7" t="n">
        <v>53.5</v>
      </c>
      <c r="P34" s="8"/>
      <c r="Q34" s="8"/>
      <c r="R34" s="5"/>
    </row>
    <row r="35" customFormat="false" ht="15" hidden="false" customHeight="false" outlineLevel="0" collapsed="false">
      <c r="A35" s="4" t="n">
        <v>31</v>
      </c>
      <c r="B35" s="5" t="s">
        <v>62</v>
      </c>
      <c r="C35" s="4" t="s">
        <v>63</v>
      </c>
      <c r="D35" s="4" t="s">
        <v>27</v>
      </c>
      <c r="E35" s="5" t="s">
        <v>154</v>
      </c>
      <c r="F35" s="4" t="s">
        <v>155</v>
      </c>
      <c r="G35" s="4"/>
      <c r="H35" s="6" t="n">
        <v>9.5</v>
      </c>
      <c r="I35" s="5" t="s">
        <v>156</v>
      </c>
      <c r="J35" s="4" t="s">
        <v>157</v>
      </c>
      <c r="K35" s="4"/>
      <c r="L35" s="6" t="n">
        <v>-9.5</v>
      </c>
      <c r="M35" s="4" t="str">
        <f aca="false">IF(H35&lt;L35,F35,J35)</f>
        <v>MEM</v>
      </c>
      <c r="N35" s="6" t="n">
        <f aca="false">MIN(H35,L35)</f>
        <v>-9.5</v>
      </c>
      <c r="O35" s="7" t="n">
        <v>52.5</v>
      </c>
      <c r="P35" s="8"/>
      <c r="Q35" s="8"/>
      <c r="R35" s="5"/>
    </row>
    <row r="36" customFormat="false" ht="15" hidden="false" customHeight="false" outlineLevel="0" collapsed="false">
      <c r="A36" s="4" t="n">
        <v>32</v>
      </c>
      <c r="B36" s="5" t="s">
        <v>62</v>
      </c>
      <c r="C36" s="4" t="s">
        <v>63</v>
      </c>
      <c r="D36" s="4" t="s">
        <v>158</v>
      </c>
      <c r="E36" s="5" t="s">
        <v>159</v>
      </c>
      <c r="F36" s="4" t="s">
        <v>160</v>
      </c>
      <c r="G36" s="4"/>
      <c r="H36" s="6" t="n">
        <v>10.5</v>
      </c>
      <c r="I36" s="5" t="s">
        <v>161</v>
      </c>
      <c r="J36" s="4" t="s">
        <v>161</v>
      </c>
      <c r="K36" s="4" t="n">
        <v>11</v>
      </c>
      <c r="L36" s="6" t="n">
        <v>-10.5</v>
      </c>
      <c r="M36" s="4" t="str">
        <f aca="false">IF(H36&lt;L36,F36,J36)</f>
        <v>LSU</v>
      </c>
      <c r="N36" s="6" t="n">
        <f aca="false">MIN(H36,L36)</f>
        <v>-10.5</v>
      </c>
      <c r="O36" s="7" t="n">
        <v>51.5</v>
      </c>
      <c r="P36" s="8"/>
      <c r="Q36" s="8"/>
      <c r="R36" s="5"/>
    </row>
    <row r="37" customFormat="false" ht="15" hidden="false" customHeight="false" outlineLevel="0" collapsed="false">
      <c r="A37" s="4" t="n">
        <v>33</v>
      </c>
      <c r="B37" s="5" t="s">
        <v>62</v>
      </c>
      <c r="C37" s="4" t="s">
        <v>63</v>
      </c>
      <c r="D37" s="4" t="s">
        <v>158</v>
      </c>
      <c r="E37" s="5" t="s">
        <v>162</v>
      </c>
      <c r="F37" s="4" t="s">
        <v>163</v>
      </c>
      <c r="G37" s="4"/>
      <c r="H37" s="6" t="n">
        <v>28.5</v>
      </c>
      <c r="I37" s="5" t="s">
        <v>164</v>
      </c>
      <c r="J37" s="4" t="s">
        <v>165</v>
      </c>
      <c r="K37" s="4"/>
      <c r="L37" s="6" t="n">
        <v>-28.5</v>
      </c>
      <c r="M37" s="4" t="str">
        <f aca="false">IF(H37&lt;L37,F37,J37)</f>
        <v>MSST</v>
      </c>
      <c r="N37" s="6" t="n">
        <f aca="false">MIN(H37,L37)</f>
        <v>-28.5</v>
      </c>
      <c r="O37" s="7" t="n">
        <v>54.5</v>
      </c>
      <c r="P37" s="8"/>
      <c r="Q37" s="8"/>
      <c r="R37" s="5"/>
    </row>
    <row r="38" customFormat="false" ht="15" hidden="false" customHeight="false" outlineLevel="0" collapsed="false">
      <c r="A38" s="4" t="n">
        <v>34</v>
      </c>
      <c r="B38" s="5" t="s">
        <v>62</v>
      </c>
      <c r="C38" s="4" t="s">
        <v>63</v>
      </c>
      <c r="D38" s="4" t="s">
        <v>158</v>
      </c>
      <c r="E38" s="5" t="s">
        <v>166</v>
      </c>
      <c r="F38" s="4" t="s">
        <v>167</v>
      </c>
      <c r="G38" s="4"/>
      <c r="H38" s="6" t="n">
        <v>27.5</v>
      </c>
      <c r="I38" s="5" t="s">
        <v>168</v>
      </c>
      <c r="J38" s="4" t="s">
        <v>169</v>
      </c>
      <c r="K38" s="4" t="n">
        <v>15</v>
      </c>
      <c r="L38" s="6" t="n">
        <v>-27.5</v>
      </c>
      <c r="M38" s="4" t="str">
        <f aca="false">IF(H38&lt;L38,F38,J38)</f>
        <v>MICH</v>
      </c>
      <c r="N38" s="6" t="n">
        <f aca="false">MIN(H38,L38)</f>
        <v>-27.5</v>
      </c>
      <c r="O38" s="7" t="n">
        <v>48.5</v>
      </c>
      <c r="P38" s="8"/>
      <c r="Q38" s="8"/>
      <c r="R38" s="5"/>
    </row>
    <row r="39" customFormat="false" ht="15" hidden="false" customHeight="false" outlineLevel="0" collapsed="false">
      <c r="A39" s="4" t="n">
        <v>35</v>
      </c>
      <c r="B39" s="5" t="s">
        <v>62</v>
      </c>
      <c r="C39" s="4" t="s">
        <v>63</v>
      </c>
      <c r="D39" s="4" t="s">
        <v>170</v>
      </c>
      <c r="E39" s="5" t="s">
        <v>171</v>
      </c>
      <c r="F39" s="4" t="s">
        <v>172</v>
      </c>
      <c r="G39" s="4"/>
      <c r="H39" s="6" t="n">
        <v>26.5</v>
      </c>
      <c r="I39" s="5" t="s">
        <v>173</v>
      </c>
      <c r="J39" s="4" t="s">
        <v>174</v>
      </c>
      <c r="K39" s="4"/>
      <c r="L39" s="6" t="n">
        <v>-26.5</v>
      </c>
      <c r="M39" s="4" t="str">
        <f aca="false">IF(H39&lt;L39,F39,J39)</f>
        <v>FLA</v>
      </c>
      <c r="N39" s="6" t="n">
        <f aca="false">MIN(H39,L39)</f>
        <v>-26.5</v>
      </c>
      <c r="O39" s="7" t="n">
        <v>59.5</v>
      </c>
      <c r="P39" s="8"/>
      <c r="Q39" s="8"/>
      <c r="R39" s="5"/>
    </row>
    <row r="40" customFormat="false" ht="15" hidden="false" customHeight="false" outlineLevel="0" collapsed="false">
      <c r="A40" s="4" t="n">
        <v>36</v>
      </c>
      <c r="B40" s="5" t="s">
        <v>62</v>
      </c>
      <c r="C40" s="4" t="s">
        <v>63</v>
      </c>
      <c r="D40" s="4" t="s">
        <v>175</v>
      </c>
      <c r="E40" s="5" t="s">
        <v>176</v>
      </c>
      <c r="F40" s="4" t="s">
        <v>177</v>
      </c>
      <c r="G40" s="4"/>
      <c r="H40" s="6" t="n">
        <v>10.5</v>
      </c>
      <c r="I40" s="5" t="s">
        <v>178</v>
      </c>
      <c r="J40" s="4" t="s">
        <v>179</v>
      </c>
      <c r="K40" s="4"/>
      <c r="L40" s="6" t="n">
        <v>-10.5</v>
      </c>
      <c r="M40" s="4" t="str">
        <f aca="false">IF(H40&lt;L40,F40,J40)</f>
        <v>UNM</v>
      </c>
      <c r="N40" s="6" t="n">
        <f aca="false">MIN(H40,L40)</f>
        <v>-10.5</v>
      </c>
      <c r="O40" s="7" t="n">
        <v>46.5</v>
      </c>
      <c r="P40" s="8"/>
      <c r="Q40" s="8"/>
      <c r="R40" s="5"/>
    </row>
    <row r="41" customFormat="false" ht="15" hidden="false" customHeight="false" outlineLevel="0" collapsed="false">
      <c r="A41" s="4" t="n">
        <v>37</v>
      </c>
      <c r="B41" s="5" t="s">
        <v>62</v>
      </c>
      <c r="C41" s="4" t="s">
        <v>63</v>
      </c>
      <c r="D41" s="4" t="s">
        <v>175</v>
      </c>
      <c r="E41" s="5" t="s">
        <v>180</v>
      </c>
      <c r="F41" s="4" t="s">
        <v>180</v>
      </c>
      <c r="G41" s="4"/>
      <c r="H41" s="6" t="n">
        <v>-3.5</v>
      </c>
      <c r="I41" s="5" t="s">
        <v>181</v>
      </c>
      <c r="J41" s="4" t="s">
        <v>182</v>
      </c>
      <c r="K41" s="4"/>
      <c r="L41" s="6" t="n">
        <v>3.5</v>
      </c>
      <c r="M41" s="4" t="str">
        <f aca="false">IF(H41&lt;L41,F41,J41)</f>
        <v>UNLV</v>
      </c>
      <c r="N41" s="6" t="n">
        <f aca="false">MIN(H41,L41)</f>
        <v>-3.5</v>
      </c>
      <c r="O41" s="7" t="n">
        <v>58.5</v>
      </c>
      <c r="P41" s="8"/>
      <c r="Q41" s="8"/>
      <c r="R41" s="5"/>
    </row>
    <row r="42" customFormat="false" ht="15" hidden="false" customHeight="false" outlineLevel="0" collapsed="false">
      <c r="A42" s="4" t="n">
        <v>38</v>
      </c>
      <c r="B42" s="5" t="s">
        <v>62</v>
      </c>
      <c r="C42" s="4" t="s">
        <v>63</v>
      </c>
      <c r="D42" s="4" t="s">
        <v>183</v>
      </c>
      <c r="E42" s="5" t="s">
        <v>184</v>
      </c>
      <c r="F42" s="4" t="s">
        <v>184</v>
      </c>
      <c r="G42" s="4"/>
      <c r="H42" s="6" t="n">
        <v>-1.5</v>
      </c>
      <c r="I42" s="5" t="s">
        <v>185</v>
      </c>
      <c r="J42" s="4" t="s">
        <v>186</v>
      </c>
      <c r="K42" s="4"/>
      <c r="L42" s="6" t="n">
        <v>1.5</v>
      </c>
      <c r="M42" s="4" t="str">
        <f aca="false">IF(H42&lt;L42,F42,J42)</f>
        <v>UCLA</v>
      </c>
      <c r="N42" s="6" t="n">
        <f aca="false">MIN(H42,L42)</f>
        <v>-1.5</v>
      </c>
      <c r="O42" s="7" t="n">
        <v>53.5</v>
      </c>
      <c r="P42" s="8"/>
      <c r="Q42" s="8"/>
      <c r="R42" s="5"/>
    </row>
    <row r="43" customFormat="false" ht="15" hidden="false" customHeight="false" outlineLevel="0" collapsed="false">
      <c r="A43" s="4" t="n">
        <v>39</v>
      </c>
      <c r="B43" s="5" t="s">
        <v>62</v>
      </c>
      <c r="C43" s="4" t="s">
        <v>63</v>
      </c>
      <c r="D43" s="4" t="s">
        <v>183</v>
      </c>
      <c r="E43" s="5" t="s">
        <v>187</v>
      </c>
      <c r="F43" s="4" t="s">
        <v>188</v>
      </c>
      <c r="G43" s="4"/>
      <c r="H43" s="6" t="n">
        <v>-2.5</v>
      </c>
      <c r="I43" s="5" t="s">
        <v>189</v>
      </c>
      <c r="J43" s="4" t="s">
        <v>190</v>
      </c>
      <c r="K43" s="4"/>
      <c r="L43" s="6" t="n">
        <v>2.5</v>
      </c>
      <c r="M43" s="4" t="str">
        <f aca="false">IF(H43&lt;L43,F43,J43)</f>
        <v>WKU</v>
      </c>
      <c r="N43" s="6" t="n">
        <f aca="false">MIN(H43,L43)</f>
        <v>-2.5</v>
      </c>
      <c r="O43" s="7" t="n">
        <v>52.5</v>
      </c>
      <c r="P43" s="8"/>
      <c r="Q43" s="8"/>
      <c r="R43" s="5"/>
    </row>
    <row r="44" customFormat="false" ht="15" hidden="false" customHeight="false" outlineLevel="0" collapsed="false">
      <c r="A44" s="4" t="n">
        <v>40</v>
      </c>
      <c r="B44" s="5" t="s">
        <v>191</v>
      </c>
      <c r="C44" s="4" t="s">
        <v>192</v>
      </c>
      <c r="D44" s="4" t="s">
        <v>193</v>
      </c>
      <c r="E44" s="5" t="s">
        <v>194</v>
      </c>
      <c r="F44" s="4" t="s">
        <v>195</v>
      </c>
      <c r="G44" s="4"/>
      <c r="H44" s="6" t="n">
        <v>23.5</v>
      </c>
      <c r="I44" s="5" t="s">
        <v>196</v>
      </c>
      <c r="J44" s="4" t="s">
        <v>197</v>
      </c>
      <c r="K44" s="4" t="n">
        <v>17</v>
      </c>
      <c r="L44" s="6" t="n">
        <v>-23.5</v>
      </c>
      <c r="M44" s="4" t="str">
        <f aca="false">IF(H44&lt;L44,F44,J44)</f>
        <v>WASH</v>
      </c>
      <c r="N44" s="6" t="n">
        <f aca="false">MIN(H44,L44)</f>
        <v>-23.5</v>
      </c>
      <c r="O44" s="7" t="n">
        <v>50.5</v>
      </c>
      <c r="P44" s="8"/>
      <c r="Q44" s="8"/>
      <c r="R44" s="5"/>
    </row>
    <row r="45" customFormat="false" ht="15" hidden="false" customHeight="false" outlineLevel="0" collapsed="false">
      <c r="A45" s="4" t="n">
        <v>41</v>
      </c>
      <c r="B45" s="5" t="s">
        <v>191</v>
      </c>
      <c r="C45" s="4" t="s">
        <v>192</v>
      </c>
      <c r="D45" s="4" t="s">
        <v>158</v>
      </c>
      <c r="E45" s="5" t="s">
        <v>198</v>
      </c>
      <c r="F45" s="4" t="s">
        <v>199</v>
      </c>
      <c r="G45" s="4"/>
      <c r="H45" s="6" t="n">
        <v>20.5</v>
      </c>
      <c r="I45" s="5" t="s">
        <v>200</v>
      </c>
      <c r="J45" s="4" t="s">
        <v>201</v>
      </c>
      <c r="K45" s="4" t="n">
        <v>4</v>
      </c>
      <c r="L45" s="6" t="n">
        <v>-20.5</v>
      </c>
      <c r="M45" s="4" t="str">
        <f aca="false">IF(H45&lt;L45,F45,J45)</f>
        <v>ND</v>
      </c>
      <c r="N45" s="6" t="n">
        <f aca="false">MIN(H45,L45)</f>
        <v>-20.5</v>
      </c>
      <c r="O45" s="7" t="n">
        <v>47.5</v>
      </c>
      <c r="P45" s="8"/>
      <c r="Q45" s="8"/>
      <c r="R45" s="5"/>
    </row>
    <row r="46" customFormat="false" ht="15" hidden="false" customHeight="false" outlineLevel="0" collapsed="false">
      <c r="A46" s="4" t="n">
        <v>42</v>
      </c>
      <c r="B46" s="5" t="s">
        <v>191</v>
      </c>
      <c r="C46" s="4" t="s">
        <v>192</v>
      </c>
      <c r="D46" s="4" t="s">
        <v>158</v>
      </c>
      <c r="E46" s="5" t="s">
        <v>202</v>
      </c>
      <c r="F46" s="4" t="s">
        <v>203</v>
      </c>
      <c r="G46" s="4" t="n">
        <v>24</v>
      </c>
      <c r="H46" s="6" t="n">
        <v>8.5</v>
      </c>
      <c r="I46" s="5" t="s">
        <v>204</v>
      </c>
      <c r="J46" s="4" t="s">
        <v>205</v>
      </c>
      <c r="K46" s="4" t="n">
        <v>3</v>
      </c>
      <c r="L46" s="6" t="n">
        <v>-8.5</v>
      </c>
      <c r="M46" s="4" t="str">
        <f aca="false">IF(H46&lt;L46,F46,J46)</f>
        <v>MISS</v>
      </c>
      <c r="N46" s="6" t="n">
        <f aca="false">MIN(H46,L46)</f>
        <v>-8.5</v>
      </c>
      <c r="O46" s="7" t="n">
        <v>55.5</v>
      </c>
      <c r="P46" s="8"/>
      <c r="Q46" s="8"/>
      <c r="R46" s="5"/>
    </row>
    <row r="47" customFormat="false" ht="15" hidden="false" customHeight="false" outlineLevel="0" collapsed="false">
      <c r="A47" s="4" t="n">
        <v>43</v>
      </c>
      <c r="B47" s="5" t="s">
        <v>206</v>
      </c>
      <c r="C47" s="4" t="s">
        <v>207</v>
      </c>
      <c r="D47" s="4" t="s">
        <v>158</v>
      </c>
      <c r="E47" s="5" t="s">
        <v>208</v>
      </c>
      <c r="F47" s="4" t="s">
        <v>208</v>
      </c>
      <c r="G47" s="4" t="n">
        <v>18</v>
      </c>
      <c r="H47" s="6" t="n">
        <v>-3.5</v>
      </c>
      <c r="I47" s="5" t="s">
        <v>209</v>
      </c>
      <c r="J47" s="4" t="s">
        <v>210</v>
      </c>
      <c r="K47" s="4"/>
      <c r="L47" s="6" t="n">
        <v>3.5</v>
      </c>
      <c r="M47" s="4" t="str">
        <f aca="false">IF(H47&lt;L47,F47,J47)</f>
        <v>SMU</v>
      </c>
      <c r="N47" s="6" t="n">
        <f aca="false">MIN(H47,L47)</f>
        <v>-3.5</v>
      </c>
      <c r="O47" s="7" t="n">
        <v>53.5</v>
      </c>
      <c r="P47" s="8"/>
      <c r="Q47" s="8"/>
      <c r="R47" s="5" t="s">
        <v>211</v>
      </c>
    </row>
    <row r="49" customFormat="false" ht="15" hidden="false" customHeight="false" outlineLevel="0" collapsed="false">
      <c r="A49" s="9" t="s">
        <v>212</v>
      </c>
      <c r="C49" s="10" t="s">
        <v>213</v>
      </c>
    </row>
    <row r="50" customFormat="false" ht="15" hidden="false" customHeight="false" outlineLevel="0" collapsed="false">
      <c r="A50" s="11" t="s">
        <v>214</v>
      </c>
      <c r="C50" s="8"/>
    </row>
    <row r="51" customFormat="false" ht="15" hidden="false" customHeight="false" outlineLevel="0" collapsed="false">
      <c r="A51" s="12" t="str">
        <f aca="false">CONCATENATE("Games: ",COUNT(A5:A47),"   |   Picks made: ",COUNTA(P5:P47),"   |   O/U picks made: ",COUNTA(Q5:Q47))</f>
        <v>Games: 43   |   Picks made: 0   |   O/U picks made: 0</v>
      </c>
    </row>
  </sheetData>
  <autoFilter ref="A4:R47"/>
  <dataValidations count="44">
    <dataValidation allowBlank="true" errorStyle="stop" operator="between" showDropDown="false" showErrorMessage="false" showInputMessage="false" sqref="P5" type="list">
      <formula1>"MASS,RUTG"</formula1>
      <formula2>0</formula2>
    </dataValidation>
    <dataValidation allowBlank="true" errorStyle="stop" operator="between" showDropDown="false" showErrorMessage="false" showInputMessage="false" sqref="P6" type="list">
      <formula1>"AKR,WAKE"</formula1>
      <formula2>0</formula2>
    </dataValidation>
    <dataValidation allowBlank="true" errorStyle="stop" operator="between" showDropDown="false" showErrorMessage="false" showInputMessage="false" sqref="P7" type="list">
      <formula1>"COLO,GT"</formula1>
      <formula2>0</formula2>
    </dataValidation>
    <dataValidation allowBlank="true" errorStyle="stop" operator="between" showDropDown="false" showErrorMessage="false" showInputMessage="false" sqref="P8" type="list">
      <formula1>"UAB,ILL"</formula1>
      <formula2>0</formula2>
    </dataValidation>
    <dataValidation allowBlank="true" errorStyle="stop" operator="between" showDropDown="false" showErrorMessage="false" showInputMessage="false" sqref="P9" type="list">
      <formula1>"SJSU,EMU"</formula1>
      <formula2>0</formula2>
    </dataValidation>
    <dataValidation allowBlank="true" errorStyle="stop" operator="between" showDropDown="false" showErrorMessage="false" showInputMessage="false" sqref="P10" type="list">
      <formula1>"UTEP,OKLA"</formula1>
      <formula2>0</formula2>
    </dataValidation>
    <dataValidation allowBlank="true" errorStyle="stop" operator="between" showDropDown="false" showErrorMessage="false" showInputMessage="false" sqref="P11" type="list">
      <formula1>"TOL,MSU"</formula1>
      <formula2>0</formula2>
    </dataValidation>
    <dataValidation allowBlank="true" errorStyle="stop" operator="between" showDropDown="false" showErrorMessage="false" showInputMessage="false" sqref="P12" type="list">
      <formula1>"FRES,USC"</formula1>
      <formula2>0</formula2>
    </dataValidation>
    <dataValidation allowBlank="true" errorStyle="stop" operator="between" showDropDown="false" showErrorMessage="false" showInputMessage="false" sqref="P13" type="list">
      <formula1>"MIA,STAN"</formula1>
      <formula2>0</formula2>
    </dataValidation>
    <dataValidation allowBlank="true" errorStyle="stop" operator="between" showDropDown="false" showErrorMessage="false" showInputMessage="false" sqref="P14" type="list">
      <formula1>"UNT,IND"</formula1>
      <formula2>0</formula2>
    </dataValidation>
    <dataValidation allowBlank="true" errorStyle="stop" operator="between" showDropDown="false" showErrorMessage="false" showInputMessage="false" sqref="P15" type="list">
      <formula1>"CCAR,WVU"</formula1>
      <formula2>0</formula2>
    </dataValidation>
    <dataValidation allowBlank="true" errorStyle="stop" operator="between" showDropDown="false" showErrorMessage="false" showInputMessage="false" sqref="P16" type="list">
      <formula1>"OHIO,NEB"</formula1>
      <formula2>0</formula2>
    </dataValidation>
    <dataValidation allowBlank="true" errorStyle="stop" operator="between" showDropDown="false" showErrorMessage="false" showInputMessage="false" sqref="P17" type="list">
      <formula1>"ORST,HOU"</formula1>
      <formula2>0</formula2>
    </dataValidation>
    <dataValidation allowBlank="true" errorStyle="stop" operator="between" showDropDown="false" showErrorMessage="false" showInputMessage="false" sqref="P18" type="list">
      <formula1>"ECU,ALA"</formula1>
      <formula2>0</formula2>
    </dataValidation>
    <dataValidation allowBlank="true" errorStyle="stop" operator="between" showDropDown="false" showErrorMessage="false" showInputMessage="false" sqref="P19" type="list">
      <formula1>"LIB,JMU"</formula1>
      <formula2>0</formula2>
    </dataValidation>
    <dataValidation allowBlank="true" errorStyle="stop" operator="between" showDropDown="false" showErrorMessage="false" showInputMessage="false" sqref="P20" type="list">
      <formula1>"M-OH,PITT"</formula1>
      <formula2>0</formula2>
    </dataValidation>
    <dataValidation allowBlank="true" errorStyle="stop" operator="between" showDropDown="false" showErrorMessage="false" showInputMessage="false" sqref="P21" type="list">
      <formula1>"BALL,OSU"</formula1>
      <formula2>0</formula2>
    </dataValidation>
    <dataValidation allowBlank="true" errorStyle="stop" operator="between" showDropDown="false" showErrorMessage="false" showInputMessage="false" sqref="P22" type="list">
      <formula1>"KENT,SCAR"</formula1>
      <formula2>0</formula2>
    </dataValidation>
    <dataValidation allowBlank="true" errorStyle="stop" operator="between" showDropDown="false" showErrorMessage="false" showInputMessage="false" sqref="P23" type="list">
      <formula1>"MRSH,PSU"</formula1>
      <formula2>0</formula2>
    </dataValidation>
    <dataValidation allowBlank="true" errorStyle="stop" operator="between" showDropDown="false" showErrorMessage="false" showInputMessage="false" sqref="P24" type="list">
      <formula1>"BC,CIN"</formula1>
      <formula2>0</formula2>
    </dataValidation>
    <dataValidation allowBlank="true" errorStyle="stop" operator="between" showDropDown="false" showErrorMessage="false" showInputMessage="false" sqref="P25" type="list">
      <formula1>"TXST,TEX"</formula1>
      <formula2>0</formula2>
    </dataValidation>
    <dataValidation allowBlank="true" errorStyle="stop" operator="between" showDropDown="false" showErrorMessage="false" showInputMessage="false" sqref="P26" type="list">
      <formula1>"BSU,ORE"</formula1>
      <formula2>0</formula2>
    </dataValidation>
    <dataValidation allowBlank="true" errorStyle="stop" operator="between" showDropDown="false" showErrorMessage="false" showInputMessage="false" sqref="P27" type="list">
      <formula1>"TULN,DUKE"</formula1>
      <formula2>0</formula2>
    </dataValidation>
    <dataValidation allowBlank="true" errorStyle="stop" operator="between" showDropDown="false" showErrorMessage="false" showInputMessage="false" sqref="P28" type="list">
      <formula1>"BAY,AUB"</formula1>
      <formula2>0</formula2>
    </dataValidation>
    <dataValidation allowBlank="true" errorStyle="stop" operator="between" showDropDown="false" showErrorMessage="false" showInputMessage="false" sqref="P29" type="list">
      <formula1>"OKST,TLSA"</formula1>
      <formula2>0</formula2>
    </dataValidation>
    <dataValidation allowBlank="true" errorStyle="stop" operator="between" showDropDown="false" showErrorMessage="false" showInputMessage="false" sqref="P30" type="list">
      <formula1>"NIU,IOWA"</formula1>
      <formula2>0</formula2>
    </dataValidation>
    <dataValidation allowBlank="true" errorStyle="stop" operator="between" showDropDown="false" showErrorMessage="false" showInputMessage="false" sqref="P31" type="list">
      <formula1>"WYO,CSU"</formula1>
      <formula2>0</formula2>
    </dataValidation>
    <dataValidation allowBlank="true" errorStyle="stop" operator="between" showDropDown="false" showErrorMessage="false" showInputMessage="false" sqref="P32" type="list">
      <formula1>"FIU,USF"</formula1>
      <formula2>0</formula2>
    </dataValidation>
    <dataValidation allowBlank="true" errorStyle="stop" operator="between" showDropDown="false" showErrorMessage="false" showInputMessage="false" sqref="P33" type="list">
      <formula1>"SHSU,TROY"</formula1>
      <formula2>0</formula2>
    </dataValidation>
    <dataValidation allowBlank="true" errorStyle="stop" operator="between" showDropDown="false" showErrorMessage="false" showInputMessage="false" sqref="P34" type="list">
      <formula1>"MOSU,TXAM"</formula1>
      <formula2>0</formula2>
    </dataValidation>
    <dataValidation allowBlank="true" errorStyle="stop" operator="between" showDropDown="false" showErrorMessage="false" showInputMessage="false" sqref="P35" type="list">
      <formula1>"ARST,MEM"</formula1>
      <formula2>0</formula2>
    </dataValidation>
    <dataValidation allowBlank="true" errorStyle="stop" operator="between" showDropDown="false" showErrorMessage="false" showInputMessage="false" sqref="P36" type="list">
      <formula1>"CLEM,LSU"</formula1>
      <formula2>0</formula2>
    </dataValidation>
    <dataValidation allowBlank="true" errorStyle="stop" operator="between" showDropDown="false" showErrorMessage="false" showInputMessage="false" sqref="P37" type="list">
      <formula1>"ULM,MSST"</formula1>
      <formula2>0</formula2>
    </dataValidation>
    <dataValidation allowBlank="true" errorStyle="stop" operator="between" showDropDown="false" showErrorMessage="false" showInputMessage="false" sqref="P38" type="list">
      <formula1>"WMU,MICH"</formula1>
      <formula2>0</formula2>
    </dataValidation>
    <dataValidation allowBlank="true" errorStyle="stop" operator="between" showDropDown="false" showErrorMessage="false" showInputMessage="false" sqref="P39" type="list">
      <formula1>"FAU,FLA"</formula1>
      <formula2>0</formula2>
    </dataValidation>
    <dataValidation allowBlank="true" errorStyle="stop" operator="between" showDropDown="false" showErrorMessage="false" showInputMessage="false" sqref="P40" type="list">
      <formula1>"CMU,UNM"</formula1>
      <formula2>0</formula2>
    </dataValidation>
    <dataValidation allowBlank="true" errorStyle="stop" operator="between" showDropDown="false" showErrorMessage="false" showInputMessage="false" sqref="P41" type="list">
      <formula1>"UNLV,HAW"</formula1>
      <formula2>0</formula2>
    </dataValidation>
    <dataValidation allowBlank="true" errorStyle="stop" operator="between" showDropDown="false" showErrorMessage="false" showInputMessage="false" sqref="P42" type="list">
      <formula1>"UCLA,CAL"</formula1>
      <formula2>0</formula2>
    </dataValidation>
    <dataValidation allowBlank="true" errorStyle="stop" operator="between" showDropDown="false" showErrorMessage="false" showInputMessage="false" sqref="P43" type="list">
      <formula1>"WKU,NEV"</formula1>
      <formula2>0</formula2>
    </dataValidation>
    <dataValidation allowBlank="true" errorStyle="stop" operator="between" showDropDown="false" showErrorMessage="false" showInputMessage="false" sqref="P44" type="list">
      <formula1>"WSU,WASH"</formula1>
      <formula2>0</formula2>
    </dataValidation>
    <dataValidation allowBlank="true" errorStyle="stop" operator="between" showDropDown="false" showErrorMessage="false" showInputMessage="false" sqref="P45" type="list">
      <formula1>"WIS,ND"</formula1>
      <formula2>0</formula2>
    </dataValidation>
    <dataValidation allowBlank="true" errorStyle="stop" operator="between" showDropDown="false" showErrorMessage="false" showInputMessage="false" sqref="P46" type="list">
      <formula1>"LOU,MISS"</formula1>
      <formula2>0</formula2>
    </dataValidation>
    <dataValidation allowBlank="true" errorStyle="stop" operator="between" showDropDown="false" showErrorMessage="false" showInputMessage="false" sqref="P47" type="list">
      <formula1>"SMU,FSU"</formula1>
      <formula2>0</formula2>
    </dataValidation>
    <dataValidation allowBlank="true" errorStyle="stop" operator="between" showDropDown="false" showErrorMessage="false" showInputMessage="false" sqref="Q5:Q47" type="list">
      <formula1>"Over,Under"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05"/>
  </cols>
  <sheetData>
    <row r="1" customFormat="false" ht="17.35" hidden="false" customHeight="false" outlineLevel="0" collapsed="false">
      <c r="A1" s="1" t="s">
        <v>215</v>
      </c>
    </row>
    <row r="3" customFormat="false" ht="27.75" hidden="false" customHeight="true" outlineLevel="0" collapsed="false">
      <c r="A3" s="13" t="s">
        <v>216</v>
      </c>
      <c r="B3" s="14" t="s">
        <v>217</v>
      </c>
    </row>
    <row r="5" customFormat="false" ht="27.75" hidden="false" customHeight="true" outlineLevel="0" collapsed="false">
      <c r="A5" s="13" t="s">
        <v>218</v>
      </c>
      <c r="B5" s="14" t="s">
        <v>219</v>
      </c>
    </row>
    <row r="7" customFormat="false" ht="27.75" hidden="false" customHeight="true" outlineLevel="0" collapsed="false">
      <c r="A7" s="13" t="s">
        <v>220</v>
      </c>
      <c r="B7" s="14" t="s">
        <v>221</v>
      </c>
    </row>
    <row r="9" customFormat="false" ht="27.75" hidden="false" customHeight="true" outlineLevel="0" collapsed="false">
      <c r="A9" s="13" t="s">
        <v>222</v>
      </c>
      <c r="B9" s="14" t="s">
        <v>223</v>
      </c>
    </row>
    <row r="11" customFormat="false" ht="27.75" hidden="false" customHeight="true" outlineLevel="0" collapsed="false">
      <c r="A11" s="13" t="s">
        <v>224</v>
      </c>
      <c r="B11" s="14" t="s">
        <v>225</v>
      </c>
    </row>
    <row r="13" customFormat="false" ht="27.75" hidden="false" customHeight="true" outlineLevel="0" collapsed="false">
      <c r="A13" s="13" t="s">
        <v>16</v>
      </c>
      <c r="B13" s="14" t="s">
        <v>226</v>
      </c>
    </row>
    <row r="15" customFormat="false" ht="27.75" hidden="false" customHeight="true" outlineLevel="0" collapsed="false">
      <c r="A15" s="13" t="s">
        <v>5</v>
      </c>
      <c r="B15" s="14" t="s">
        <v>227</v>
      </c>
    </row>
    <row r="17" customFormat="false" ht="27.75" hidden="false" customHeight="true" outlineLevel="0" collapsed="false">
      <c r="A17" s="13" t="s">
        <v>228</v>
      </c>
      <c r="B17" s="14" t="s">
        <v>229</v>
      </c>
    </row>
    <row r="19" customFormat="false" ht="27.75" hidden="false" customHeight="true" outlineLevel="0" collapsed="false">
      <c r="A19" s="13" t="s">
        <v>17</v>
      </c>
      <c r="B19" s="14" t="s">
        <v>230</v>
      </c>
    </row>
    <row r="21" customFormat="false" ht="27.75" hidden="false" customHeight="true" outlineLevel="0" collapsed="false">
      <c r="A21" s="13" t="s">
        <v>18</v>
      </c>
      <c r="B21" s="14" t="s">
        <v>231</v>
      </c>
    </row>
    <row r="23" customFormat="false" ht="27.75" hidden="false" customHeight="true" outlineLevel="0" collapsed="false">
      <c r="A23" s="13" t="s">
        <v>232</v>
      </c>
      <c r="B23" s="14" t="s">
        <v>233</v>
      </c>
    </row>
    <row r="25" customFormat="false" ht="27.75" hidden="false" customHeight="true" outlineLevel="0" collapsed="false">
      <c r="A25" s="13" t="s">
        <v>234</v>
      </c>
      <c r="B25" s="14" t="s">
        <v>235</v>
      </c>
    </row>
    <row r="27" customFormat="false" ht="27.75" hidden="false" customHeight="true" outlineLevel="0" collapsed="false">
      <c r="A27" s="13" t="s">
        <v>236</v>
      </c>
      <c r="B27" s="14" t="s">
        <v>237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2026-08-31T17:55:17Z</dcterms:created>
  <dc:creator>openpyxl</dc:creator>
  <dc:description/>
  <dc:language>en-US</dc:language>
  <cp:lastModifiedBy/>
  <dcterms:modified xsi:type="dcterms:W3CDTF">2026-08-31T17:55:17Z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